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 Executivo" sheetId="2" state="visible" r:id="rId4"/>
    <sheet name="Berkus" sheetId="3" state="visible" r:id="rId5"/>
    <sheet name="Scorecard" sheetId="4" state="visible" r:id="rId6"/>
    <sheet name="Projeção de Receita" sheetId="5" state="visible" r:id="rId7"/>
    <sheet name="Valuation Projeta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<sst xmlns="http://schemas.openxmlformats.org/spreadsheetml/2006/main" count="144" uniqueCount="113">
  <si>
    <t xml:space="preserve">LEGAL HEALTH</t>
  </si>
  <si>
    <t xml:space="preserve">Valuation Atualizado + Projeção de Receita (10 anos) — 3 Cenários</t>
  </si>
  <si>
    <t xml:space="preserve">Documento de apoio à decisão — não é laudo de avaliação nem promessa de resultado financeiro</t>
  </si>
  <si>
    <t xml:space="preserve">O QUE MUDOU NESTA VERSÃO</t>
  </si>
  <si>
    <t xml:space="preserve">O valuation (Berkus + Scorecard) foi atualizado incorporando a validação positiva dos 10 médicos</t>
  </si>
  <si>
    <t xml:space="preserve">embaixadores — isso elevou os critérios de 'Execução inicial' e 'Tração' em relação à primeira versão.</t>
  </si>
  <si>
    <t xml:space="preserve">Foi adicionada uma projeção de receita (ARR) para 10 anos, em 3 cenários, e uma aba que traduz</t>
  </si>
  <si>
    <t xml:space="preserve">essa receita futura em valuation projetado, usando múltiplos de ARR por estágio.</t>
  </si>
  <si>
    <t xml:space="preserve">COMO USAR</t>
  </si>
  <si>
    <t xml:space="preserve">1. Edite apenas as células em AZUL sobre fundo amarelo — são os únicos inputs do modelo.</t>
  </si>
  <si>
    <t xml:space="preserve">2. Abas 'Berkus' e 'Scorecard': valuation de HOJE, sem receita (método padrão pré-seed).</t>
  </si>
  <si>
    <t xml:space="preserve">3. Aba 'Projeção de Receita': número de clientes e ticket médio (ARPU) por ano, para cada cenário.</t>
  </si>
  <si>
    <t xml:space="preserve">   A receita (ARR) recalcula sozinha. Mude os clientes/ARPU para testar sua própria hipótese.</t>
  </si>
  <si>
    <t xml:space="preserve">4. Aba 'Valuation Projetado': aplica um múltiplo sobre o ARR de cada ano para estimar o valuation</t>
  </si>
  <si>
    <t xml:space="preserve">   futuro da empresa nesse cenário — também editável.</t>
  </si>
  <si>
    <t xml:space="preserve">PREMISSA DE MERCADO</t>
  </si>
  <si>
    <t xml:space="preserve">TAM declarado: R$ 10 bilhões+ (1,3 milhão de profissionais, ~56 mil clínicas e hospitais no Brasil).</t>
  </si>
  <si>
    <t xml:space="preserve">Meta SOM do próprio plano de negócio: ~5.000 clientes recorrentes — usada como referência de calibração</t>
  </si>
  <si>
    <t xml:space="preserve">do cenário Moderado por volta do Ano 5.</t>
  </si>
  <si>
    <t xml:space="preserve">AVISO IMPORTANTE</t>
  </si>
  <si>
    <t xml:space="preserve">Projeções de 10 anos para uma empresa pré-receita são, por natureza, altamente especulativas. Este</t>
  </si>
  <si>
    <t xml:space="preserve">documento modela cenários plausíveis com base em benchmarks de SaaS B2B — não é uma previsão</t>
  </si>
  <si>
    <t xml:space="preserve">garantida nem aconselhamento financeiro ou de investimento. A maioria das startups fica abaixo até</t>
  </si>
  <si>
    <t xml:space="preserve">do cenário conservador aqui descrito.</t>
  </si>
  <si>
    <t xml:space="preserve">Gerado em 24/07/2026 — Legal Health · Inteligência Jurídica para Medicina</t>
  </si>
  <si>
    <t xml:space="preserve">RESUMO EXECUTIVO</t>
  </si>
  <si>
    <t xml:space="preserve">Legal Health — valuation atual e trajetória projetada de receita e valuation (10 anos)</t>
  </si>
  <si>
    <t xml:space="preserve">VALUATION DE HOJE (PRÉ-LANÇAMENTO)</t>
  </si>
  <si>
    <t xml:space="preserve">Método</t>
  </si>
  <si>
    <t xml:space="preserve">Valuation pré-money</t>
  </si>
  <si>
    <t xml:space="preserve">Berkus Method</t>
  </si>
  <si>
    <t xml:space="preserve">Scorecard Method</t>
  </si>
  <si>
    <t xml:space="preserve">FAIXA DEFENSÁVEL (±25% da média)</t>
  </si>
  <si>
    <t xml:space="preserve">Ponto médio: </t>
  </si>
  <si>
    <t xml:space="preserve">RECEITA PROJETADA (ARR) — 3 CENÁRIOS</t>
  </si>
  <si>
    <t xml:space="preserve">Ano 1</t>
  </si>
  <si>
    <t xml:space="preserve">Ano 3</t>
  </si>
  <si>
    <t xml:space="preserve">Ano 5</t>
  </si>
  <si>
    <t xml:space="preserve">Ano 7</t>
  </si>
  <si>
    <t xml:space="preserve">Ano 10</t>
  </si>
  <si>
    <t xml:space="preserve">Conservador</t>
  </si>
  <si>
    <t xml:space="preserve">Moderado</t>
  </si>
  <si>
    <t xml:space="preserve">Otimista</t>
  </si>
  <si>
    <t xml:space="preserve">VALUATION PROJETADO (ARR × MÚLTIPLO)</t>
  </si>
  <si>
    <t xml:space="preserve">Leia as abas 'Berkus', 'Scorecard', 'Projeção de Receita' e 'Valuation Projetado' para editar as premissas</t>
  </si>
  <si>
    <t xml:space="preserve">por trás de cada número. Projeções de 10 anos são cenários, não previsões — trate como ferramenta de</t>
  </si>
  <si>
    <t xml:space="preserve">planejamento, não como garantia.</t>
  </si>
  <si>
    <t xml:space="preserve">MÉTODO BERKUS — ATUALIZADO</t>
  </si>
  <si>
    <t xml:space="preserve">Startups pré-receita — valor por critério de risco superado (teto de referência: R$ 500 mil/critério)</t>
  </si>
  <si>
    <t xml:space="preserve">Critério de risco</t>
  </si>
  <si>
    <t xml:space="preserve">Valor atribuído</t>
  </si>
  <si>
    <t xml:space="preserve">Justificativa</t>
  </si>
  <si>
    <t xml:space="preserve">Ideia sólida (Sound Idea)</t>
  </si>
  <si>
    <t xml:space="preserve">Mercado real (judicialização da saúde), dor validada, produto nomeado (Juriscore®).</t>
  </si>
  <si>
    <t xml:space="preserve">Protótipo / redução de risco tecnológico</t>
  </si>
  <si>
    <t xml:space="preserve">MVP 2.0 funcional: dashboard, Juriscore®, redator de peças, jurimetria, OCR de documentos — todos operantes com IA real.</t>
  </si>
  <si>
    <t xml:space="preserve">Qualidade e histórico da equipe</t>
  </si>
  <si>
    <t xml:space="preserve">Fundador com formação jurídica + advogado doutor em Direito Constitucional + programador + gestores de tráfego/projeto. Eleve se houver exit ou execução prévia comprovada.</t>
  </si>
  <si>
    <t xml:space="preserve">Relacionamentos estratégicos</t>
  </si>
  <si>
    <t xml:space="preserve">10 médicos embaixadores engajados. Eleve com parceria formal (associação médica, seguradora, escritório de advocacia).</t>
  </si>
  <si>
    <t xml:space="preserve">Execução inicial / lançamento no mercado</t>
  </si>
  <si>
    <t xml:space="preserve">ATUALIZADO: validação qualitativa positiva de médicos embaixadores testando o produto. Ainda sem cliente pagante — eleve significativamente no 1º contrato pago.</t>
  </si>
  <si>
    <t xml:space="preserve">VALUATION PRÉ-MONEY (BERKUS)</t>
  </si>
  <si>
    <t xml:space="preserve">MÉTODO SCORECARD — ATUALIZADO</t>
  </si>
  <si>
    <t xml:space="preserve">Compara a startup à média de pré-seed do setor, ajustada por fatores de comparação</t>
  </si>
  <si>
    <t xml:space="preserve">Valuation pré-money médio — pré-seed SaaS vertical B2B, Brasil, sem receita</t>
  </si>
  <si>
    <t xml:space="preserve">Fator de comparação</t>
  </si>
  <si>
    <t xml:space="preserve">Peso</t>
  </si>
  <si>
    <t xml:space="preserve">Sua nota</t>
  </si>
  <si>
    <t xml:space="preserve">Contribuição</t>
  </si>
  <si>
    <t xml:space="preserve">Como calibrar</t>
  </si>
  <si>
    <t xml:space="preserve">Força da equipe / fundadores</t>
  </si>
  <si>
    <t xml:space="preserve">1.5 = time c/ exit ou sênior comprovado; 1.0 = média; 0.5 = primeira empreitada sem rede.</t>
  </si>
  <si>
    <t xml:space="preserve">Tamanho da oportunidade (TAM/SAM/SOM)</t>
  </si>
  <si>
    <t xml:space="preserve">TAM &gt; R$10bi sustenta nota &gt;1.0; reduza se o SOM realista for pequeno.</t>
  </si>
  <si>
    <t xml:space="preserve">Produto / tecnologia (IA)</t>
  </si>
  <si>
    <t xml:space="preserve">MVP 2.0 com 6 módulos de IA operantes está acima da média de pré-seed.</t>
  </si>
  <si>
    <t xml:space="preserve">Tração inicial (usuários, waitlist, receita)</t>
  </si>
  <si>
    <t xml:space="preserve">ATUALIZADO: validação positiva de 10 médicos eleva a nota, mas ainda não há cliente pagante (por isso &lt;1.0).</t>
  </si>
  <si>
    <t xml:space="preserve">Parcerias e canais estratégicos</t>
  </si>
  <si>
    <t xml:space="preserve">Sem parceria formalizada com escritório, CRM ou seguradora ainda.</t>
  </si>
  <si>
    <t xml:space="preserve">Necessidade de capital adicional</t>
  </si>
  <si>
    <t xml:space="preserve">Neutro por padrão; ajuste se a estrutura de captação já estiver definida.</t>
  </si>
  <si>
    <t xml:space="preserve">Outros fatores (timing, regulação de IA)</t>
  </si>
  <si>
    <t xml:space="preserve">Judicialização da saúde em alta e IA jurídica em voga favorecem o timing.</t>
  </si>
  <si>
    <t xml:space="preserve">MULTIPLICADOR SCORECARD (soma ponderada)</t>
  </si>
  <si>
    <t xml:space="preserve">VALUATION PRÉ-MONEY (SCORECARD)</t>
  </si>
  <si>
    <t xml:space="preserve">PROJEÇÃO DE RECEITA — 10 ANOS</t>
  </si>
  <si>
    <t xml:space="preserve">3 cenários (Conservador · Moderado · Otimista) — edite clientes e ticket médio; a receita recalcula sozinha</t>
  </si>
  <si>
    <t xml:space="preserve">Hoje</t>
  </si>
  <si>
    <t xml:space="preserve">Ano 2</t>
  </si>
  <si>
    <t xml:space="preserve">Ano 4</t>
  </si>
  <si>
    <t xml:space="preserve">Ano 6</t>
  </si>
  <si>
    <t xml:space="preserve">Ano 8</t>
  </si>
  <si>
    <t xml:space="preserve">Ano 9</t>
  </si>
  <si>
    <t xml:space="preserve">Ticket médio anual — ARPU (R$)</t>
  </si>
  <si>
    <t xml:space="preserve">Premissa: mix de planos migra de Essential para Professional/Enterprise ao longo do tempo.</t>
  </si>
  <si>
    <t xml:space="preserve">CENÁRIO CONSERVADOR</t>
  </si>
  <si>
    <t xml:space="preserve">Clientes ativos</t>
  </si>
  <si>
    <t xml:space="preserve">Crescimento anual de clientes</t>
  </si>
  <si>
    <t xml:space="preserve">ARR — Receita Recorrente Anual (R$)</t>
  </si>
  <si>
    <t xml:space="preserve">CENÁRIO MODERADO</t>
  </si>
  <si>
    <t xml:space="preserve">CENÁRIO OTIMISTA</t>
  </si>
  <si>
    <t xml:space="preserve">VALUATION PROJETADO</t>
  </si>
  <si>
    <t xml:space="preserve">Traduz a receita futura (aba anterior) em valuation estimado, aplicando um múltiplo sobre o ARR</t>
  </si>
  <si>
    <t xml:space="preserve">Múltiplo de ARR aplicado</t>
  </si>
  <si>
    <t xml:space="preserve">Referência: 7-9x em rodadas de alto crescimento; 5-6x em estágio de maturação; 4-5x em exits/growth tardio.</t>
  </si>
  <si>
    <t xml:space="preserve">ARR projetado (R$)</t>
  </si>
  <si>
    <t xml:space="preserve">Valuation implícito (ARR × múltiplo)</t>
  </si>
  <si>
    <t xml:space="preserve">Nota sobre o Ano 1:</t>
  </si>
  <si>
    <t xml:space="preserve">Múltiplos de ARR são pouco confiáveis com receita ainda pequena — para o valuation de HOJE (pré-lançamento),</t>
  </si>
  <si>
    <t xml:space="preserve">use as abas 'Berkus' e 'Scorecard', não este múltiplo. O Ano 1 aqui serve para visualizar a trajetória, não como</t>
  </si>
  <si>
    <t xml:space="preserve">referência de negociação imediata.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</si>
</sst>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&quot;#,##0"/>
    <numFmt numFmtId="166" formatCode="&quot;R$&quot;#,##0;&quot;(R$&quot;#,##0\)"/>
    <numFmt numFmtId="167" formatCode="0%"/>
    <numFmt numFmtId="168" formatCode="0.00"/>
    <numFmt numFmtId="169" formatCode="0.000"/>
    <numFmt numFmtId="170" formatCode="0.00\x"/>
    <numFmt numFmtId="171" formatCode="#,##0"/>
    <numFmt numFmtId="172" formatCode="0.0\x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96A"/>
      <name val="Arial"/>
      <family val="0"/>
      <charset val="1"/>
    </font>
    <font>
      <b val="true"/>
      <sz val="13"/>
      <color rgb="FF1A1A1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1A1A1A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C8A96A"/>
      <name val="Arial"/>
      <family val="0"/>
      <charset val="1"/>
    </font>
    <font>
      <b val="true"/>
      <sz val="10.5"/>
      <color rgb="FF6B6250"/>
      <name val="Arial"/>
      <family val="0"/>
      <charset val="1"/>
    </font>
    <font>
      <b val="true"/>
      <sz val="10.5"/>
      <color rgb="FF8A6D1E"/>
      <name val="Arial"/>
      <family val="0"/>
      <charset val="1"/>
    </font>
    <font>
      <b val="true"/>
      <sz val="10.5"/>
      <color rgb="FF1E7A50"/>
      <name val="Arial"/>
      <family val="0"/>
      <charset val="1"/>
    </font>
    <font>
      <b val="true"/>
      <sz val="9.5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C8A96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b val="true"/>
      <sz val="11"/>
      <color rgb="FF6B6250"/>
      <name val="Arial"/>
      <family val="0"/>
      <charset val="1"/>
    </font>
    <font>
      <b val="true"/>
      <sz val="11"/>
      <color rgb="FF8A6D1E"/>
      <name val="Arial"/>
      <family val="0"/>
      <charset val="1"/>
    </font>
    <font>
      <b val="true"/>
      <sz val="11"/>
      <color rgb="FF1E7A5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E1808"/>
        <bgColor rgb="FF1A1A1A"/>
      </patternFill>
    </fill>
    <fill>
      <patternFill patternType="solid">
        <fgColor rgb="FFEFEAE0"/>
        <bgColor rgb="FFF2F2F2"/>
      </patternFill>
    </fill>
    <fill>
      <patternFill patternType="solid">
        <fgColor rgb="FFFBEFCB"/>
        <bgColor rgb="FFEFEAE0"/>
      </patternFill>
    </fill>
    <fill>
      <patternFill patternType="solid">
        <fgColor rgb="FFDFF3E7"/>
        <bgColor rgb="FFF2F2F2"/>
      </patternFill>
    </fill>
    <fill>
      <patternFill patternType="solid">
        <fgColor rgb="FFFFF9E6"/>
        <bgColor rgb="FFFFFEFB"/>
      </patternFill>
    </fill>
    <fill>
      <patternFill patternType="solid">
        <fgColor rgb="FFF2F2F2"/>
        <bgColor rgb="FFEFEAE0"/>
      </patternFill>
    </fill>
    <fill>
      <patternFill patternType="solid">
        <fgColor rgb="FFFFFE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A6D1E"/>
      <rgbColor rgb="FF800080"/>
      <rgbColor rgb="FF1E7A50"/>
      <rgbColor rgb="FFC8A96A"/>
      <rgbColor rgb="FF6B6250"/>
      <rgbColor rgb="FF9999FF"/>
      <rgbColor rgb="FF993366"/>
      <rgbColor rgb="FFFFF9E6"/>
      <rgbColor rgb="FFDFF3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FEAE0"/>
      <rgbColor rgb="FFFBEFCB"/>
      <rgbColor rgb="FF99CCFF"/>
      <rgbColor rgb="FFFF99CC"/>
      <rgbColor rgb="FFCC99FF"/>
      <rgbColor rgb="FFFFFEFB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A0A0A"/>
      <rgbColor rgb="FF1E1808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2"/>
  </cols>
  <sheetData>
    <row r="2" customFormat="false" ht="19.7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 t="s">
        <v>10</v>
      </c>
    </row>
    <row r="14" customFormat="false" ht="15" hidden="false" customHeight="false" outlineLevel="0" collapsed="false">
      <c r="B14" s="5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5" t="s">
        <v>14</v>
      </c>
    </row>
    <row r="18" customFormat="false" ht="15" hidden="false" customHeight="false" outlineLevel="0" collapsed="false">
      <c r="B18" s="4" t="s">
        <v>15</v>
      </c>
    </row>
    <row r="19" customFormat="false" ht="15" hidden="false" customHeight="false" outlineLevel="0" collapsed="false">
      <c r="B19" s="5" t="s">
        <v>16</v>
      </c>
    </row>
    <row r="20" customFormat="false" ht="15" hidden="false" customHeight="false" outlineLevel="0" collapsed="false">
      <c r="B20" s="5" t="s">
        <v>17</v>
      </c>
    </row>
    <row r="21" customFormat="false" ht="15" hidden="false" customHeight="false" outlineLevel="0" collapsed="false">
      <c r="B21" s="5" t="s">
        <v>18</v>
      </c>
    </row>
    <row r="23" customFormat="false" ht="15" hidden="false" customHeight="false" outlineLevel="0" collapsed="false">
      <c r="B23" s="6" t="s">
        <v>19</v>
      </c>
    </row>
    <row r="24" customFormat="false" ht="15" hidden="false" customHeight="false" outlineLevel="0" collapsed="false">
      <c r="B24" s="7" t="s">
        <v>20</v>
      </c>
    </row>
    <row r="25" customFormat="false" ht="15" hidden="false" customHeight="false" outlineLevel="0" collapsed="false">
      <c r="B25" s="7" t="s">
        <v>21</v>
      </c>
    </row>
    <row r="26" customFormat="false" ht="15" hidden="false" customHeight="false" outlineLevel="0" collapsed="false">
      <c r="B26" s="7" t="s">
        <v>22</v>
      </c>
    </row>
    <row r="27" customFormat="false" ht="15" hidden="false" customHeight="false" outlineLevel="0" collapsed="false">
      <c r="B27" s="7" t="s">
        <v>23</v>
      </c>
    </row>
    <row r="30" customFormat="false" ht="15" hidden="false" customHeight="false" outlineLevel="0" collapsed="false">
      <c r="B30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7" min="3" style="0" width="15"/>
    <col collapsed="false" customWidth="true" hidden="false" outlineLevel="0" max="8" min="8" style="0" width="3"/>
  </cols>
  <sheetData>
    <row r="2" customFormat="false" ht="19.7" hidden="false" customHeight="false" outlineLevel="0" collapsed="false">
      <c r="B2" s="1" t="s">
        <v>25</v>
      </c>
    </row>
    <row r="3" customFormat="false" ht="15" hidden="false" customHeight="false" outlineLevel="0" collapsed="false">
      <c r="B3" s="3" t="s">
        <v>26</v>
      </c>
    </row>
    <row r="5" customFormat="false" ht="15" hidden="false" customHeight="false" outlineLevel="0" collapsed="false">
      <c r="B5" s="4" t="s">
        <v>27</v>
      </c>
    </row>
    <row r="6" customFormat="false" ht="15" hidden="false" customHeight="false" outlineLevel="0" collapsed="false">
      <c r="B6" s="8" t="s">
        <v>28</v>
      </c>
      <c r="C6" s="8" t="s">
        <v>29</v>
      </c>
    </row>
    <row r="7" customFormat="false" ht="15" hidden="false" customHeight="false" outlineLevel="0" collapsed="false">
      <c r="B7" s="9" t="s">
        <v>30</v>
      </c>
      <c r="C7" s="10" t="n">
        <f aca="false">Berkus!D12</f>
        <v>1165000</v>
      </c>
    </row>
    <row r="8" customFormat="false" ht="15" hidden="false" customHeight="false" outlineLevel="0" collapsed="false">
      <c r="B8" s="9" t="s">
        <v>31</v>
      </c>
      <c r="C8" s="10" t="n">
        <f aca="false">Scorecard!E19</f>
        <v>1737000</v>
      </c>
    </row>
    <row r="10" customFormat="false" ht="24.45" hidden="false" customHeight="false" outlineLevel="0" collapsed="false">
      <c r="B10" s="11" t="s">
        <v>32</v>
      </c>
      <c r="C10" s="12" t="n">
        <f aca="false">AVERAGE(C7:C8)*0.75</f>
        <v>1088250</v>
      </c>
      <c r="D10" s="12" t="n">
        <f aca="false">AVERAGE(C7:C8)*1.25</f>
        <v>1813750</v>
      </c>
      <c r="E10" s="13"/>
    </row>
    <row r="12" customFormat="false" ht="15" hidden="false" customHeight="false" outlineLevel="0" collapsed="false">
      <c r="B12" s="7" t="s">
        <v>33</v>
      </c>
      <c r="C12" s="14" t="n">
        <f aca="false">AVERAGE(C7:C8)</f>
        <v>1451000</v>
      </c>
    </row>
    <row r="15" customFormat="false" ht="15" hidden="false" customHeight="false" outlineLevel="0" collapsed="false">
      <c r="B15" s="4" t="s">
        <v>34</v>
      </c>
    </row>
    <row r="16" customFormat="false" ht="15" hidden="false" customHeight="false" outlineLevel="0" collapsed="false">
      <c r="B16" s="15"/>
      <c r="C16" s="16" t="s">
        <v>35</v>
      </c>
      <c r="D16" s="16" t="s">
        <v>36</v>
      </c>
      <c r="E16" s="16" t="s">
        <v>37</v>
      </c>
      <c r="F16" s="16" t="s">
        <v>38</v>
      </c>
      <c r="G16" s="16" t="s">
        <v>39</v>
      </c>
    </row>
    <row r="17" customFormat="false" ht="15" hidden="false" customHeight="false" outlineLevel="0" collapsed="false">
      <c r="B17" s="17" t="s">
        <v>40</v>
      </c>
      <c r="C17" s="18" t="n">
        <f aca="false">'Projeção de Receita'!D12</f>
        <v>201600</v>
      </c>
      <c r="D17" s="18" t="n">
        <f aca="false">'Projeção de Receita'!F12</f>
        <v>4998400</v>
      </c>
      <c r="E17" s="18" t="n">
        <f aca="false">'Projeção de Receita'!H12</f>
        <v>13000000</v>
      </c>
      <c r="F17" s="18" t="n">
        <f aca="false">'Projeção de Receita'!J12</f>
        <v>22002000</v>
      </c>
      <c r="G17" s="18" t="n">
        <f aca="false">'Projeção de Receita'!M12</f>
        <v>38001600</v>
      </c>
    </row>
    <row r="18" customFormat="false" ht="15" hidden="false" customHeight="false" outlineLevel="0" collapsed="false">
      <c r="B18" s="19" t="s">
        <v>41</v>
      </c>
      <c r="C18" s="20" t="n">
        <f aca="false">'Projeção de Receita'!D17</f>
        <v>1000800</v>
      </c>
      <c r="D18" s="20" t="n">
        <f aca="false">'Projeção de Receita'!F17</f>
        <v>8998000</v>
      </c>
      <c r="E18" s="20" t="n">
        <f aca="false">'Projeção de Receita'!H17</f>
        <v>28002000</v>
      </c>
      <c r="F18" s="20" t="n">
        <f aca="false">'Projeção de Receita'!J17</f>
        <v>55002000</v>
      </c>
      <c r="G18" s="20" t="n">
        <f aca="false">'Projeção de Receita'!M17</f>
        <v>100000800</v>
      </c>
    </row>
    <row r="19" customFormat="false" ht="15" hidden="false" customHeight="false" outlineLevel="0" collapsed="false">
      <c r="B19" s="21" t="s">
        <v>42</v>
      </c>
      <c r="C19" s="22" t="n">
        <f aca="false">'Projeção de Receita'!D22</f>
        <v>1800000</v>
      </c>
      <c r="D19" s="22" t="n">
        <f aca="false">'Projeção de Receita'!F22</f>
        <v>17001600</v>
      </c>
      <c r="E19" s="22" t="n">
        <f aca="false">'Projeção de Receita'!H22</f>
        <v>55000400</v>
      </c>
      <c r="F19" s="22" t="n">
        <f aca="false">'Projeção de Receita'!J22</f>
        <v>115002000</v>
      </c>
      <c r="G19" s="22" t="n">
        <f aca="false">'Projeção de Receita'!M22</f>
        <v>249998400</v>
      </c>
    </row>
    <row r="22" customFormat="false" ht="15" hidden="false" customHeight="false" outlineLevel="0" collapsed="false">
      <c r="B22" s="4" t="s">
        <v>43</v>
      </c>
    </row>
    <row r="23" customFormat="false" ht="15" hidden="false" customHeight="false" outlineLevel="0" collapsed="false">
      <c r="B23" s="15"/>
      <c r="C23" s="16" t="s">
        <v>35</v>
      </c>
      <c r="D23" s="16" t="s">
        <v>36</v>
      </c>
      <c r="E23" s="16" t="s">
        <v>37</v>
      </c>
      <c r="F23" s="16" t="s">
        <v>38</v>
      </c>
      <c r="G23" s="16" t="s">
        <v>39</v>
      </c>
    </row>
    <row r="24" customFormat="false" ht="15" hidden="false" customHeight="false" outlineLevel="0" collapsed="false">
      <c r="B24" s="17" t="s">
        <v>40</v>
      </c>
      <c r="C24" s="23" t="n">
        <f aca="false">'Valuation Projetado'!C11</f>
        <v>1612800</v>
      </c>
      <c r="D24" s="23" t="n">
        <f aca="false">'Valuation Projetado'!D11</f>
        <v>34988800</v>
      </c>
      <c r="E24" s="23" t="n">
        <f aca="false">'Valuation Projetado'!E11</f>
        <v>78000000</v>
      </c>
      <c r="F24" s="23" t="n">
        <f aca="false">'Valuation Projetado'!F11</f>
        <v>121011000</v>
      </c>
      <c r="G24" s="23" t="n">
        <f aca="false">'Valuation Projetado'!G11</f>
        <v>190008000</v>
      </c>
    </row>
    <row r="25" customFormat="false" ht="15" hidden="false" customHeight="false" outlineLevel="0" collapsed="false">
      <c r="B25" s="19" t="s">
        <v>41</v>
      </c>
      <c r="C25" s="24" t="n">
        <f aca="false">'Valuation Projetado'!C15</f>
        <v>8006400</v>
      </c>
      <c r="D25" s="24" t="n">
        <f aca="false">'Valuation Projetado'!D15</f>
        <v>62986000</v>
      </c>
      <c r="E25" s="24" t="n">
        <f aca="false">'Valuation Projetado'!E15</f>
        <v>168012000</v>
      </c>
      <c r="F25" s="24" t="n">
        <f aca="false">'Valuation Projetado'!F15</f>
        <v>302511000</v>
      </c>
      <c r="G25" s="24" t="n">
        <f aca="false">'Valuation Projetado'!G15</f>
        <v>500004000</v>
      </c>
    </row>
    <row r="26" customFormat="false" ht="15" hidden="false" customHeight="false" outlineLevel="0" collapsed="false">
      <c r="B26" s="21" t="s">
        <v>42</v>
      </c>
      <c r="C26" s="25" t="n">
        <f aca="false">'Valuation Projetado'!C19</f>
        <v>14400000</v>
      </c>
      <c r="D26" s="25" t="n">
        <f aca="false">'Valuation Projetado'!D19</f>
        <v>119011200</v>
      </c>
      <c r="E26" s="25" t="n">
        <f aca="false">'Valuation Projetado'!E19</f>
        <v>330002400</v>
      </c>
      <c r="F26" s="25" t="n">
        <f aca="false">'Valuation Projetado'!F19</f>
        <v>632511000</v>
      </c>
      <c r="G26" s="25" t="n">
        <f aca="false">'Valuation Projetado'!G19</f>
        <v>1249992000</v>
      </c>
    </row>
    <row r="29" customFormat="false" ht="15" hidden="false" customHeight="false" outlineLevel="0" collapsed="false">
      <c r="B29" s="7" t="s">
        <v>44</v>
      </c>
    </row>
    <row r="30" customFormat="false" ht="15" hidden="false" customHeight="false" outlineLevel="0" collapsed="false">
      <c r="B30" s="7" t="s">
        <v>45</v>
      </c>
    </row>
    <row r="31" customFormat="false" ht="15" hidden="false" customHeight="false" outlineLevel="0" collapsed="false">
      <c r="B31" s="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3"/>
  </cols>
  <sheetData>
    <row r="2" customFormat="false" ht="19.7" hidden="false" customHeight="false" outlineLevel="0" collapsed="false">
      <c r="B2" s="1" t="s">
        <v>47</v>
      </c>
    </row>
    <row r="3" customFormat="false" ht="15" hidden="false" customHeight="false" outlineLevel="0" collapsed="false">
      <c r="B3" s="3" t="s">
        <v>48</v>
      </c>
    </row>
    <row r="5" customFormat="false" ht="15" hidden="false" customHeight="false" outlineLevel="0" collapsed="false">
      <c r="B5" s="26" t="s">
        <v>49</v>
      </c>
      <c r="C5" s="26" t="s">
        <v>50</v>
      </c>
      <c r="D5" s="26" t="s">
        <v>51</v>
      </c>
    </row>
    <row r="6" customFormat="false" ht="33.75" hidden="false" customHeight="true" outlineLevel="0" collapsed="false">
      <c r="B6" s="27" t="s">
        <v>52</v>
      </c>
      <c r="C6" s="28" t="n">
        <v>350000</v>
      </c>
      <c r="D6" s="29" t="s">
        <v>53</v>
      </c>
    </row>
    <row r="7" customFormat="false" ht="33.75" hidden="false" customHeight="true" outlineLevel="0" collapsed="false">
      <c r="B7" s="27" t="s">
        <v>54</v>
      </c>
      <c r="C7" s="28" t="n">
        <v>400000</v>
      </c>
      <c r="D7" s="29" t="s">
        <v>55</v>
      </c>
    </row>
    <row r="8" customFormat="false" ht="33.75" hidden="false" customHeight="true" outlineLevel="0" collapsed="false">
      <c r="B8" s="27" t="s">
        <v>56</v>
      </c>
      <c r="C8" s="28" t="n">
        <v>150000</v>
      </c>
      <c r="D8" s="29" t="s">
        <v>57</v>
      </c>
    </row>
    <row r="9" customFormat="false" ht="33.75" hidden="false" customHeight="true" outlineLevel="0" collapsed="false">
      <c r="B9" s="27" t="s">
        <v>58</v>
      </c>
      <c r="C9" s="28" t="n">
        <v>100000</v>
      </c>
      <c r="D9" s="29" t="s">
        <v>59</v>
      </c>
    </row>
    <row r="10" customFormat="false" ht="33.75" hidden="false" customHeight="true" outlineLevel="0" collapsed="false">
      <c r="B10" s="27" t="s">
        <v>60</v>
      </c>
      <c r="C10" s="28" t="n">
        <v>165000</v>
      </c>
      <c r="D10" s="29" t="s">
        <v>61</v>
      </c>
    </row>
    <row r="12" customFormat="false" ht="17.35" hidden="false" customHeight="false" outlineLevel="0" collapsed="false">
      <c r="B12" s="30" t="s">
        <v>62</v>
      </c>
      <c r="C12" s="13"/>
      <c r="D12" s="31" t="n">
        <f aca="false">SUM(C6:C10)</f>
        <v>1165000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3"/>
  </cols>
  <sheetData>
    <row r="2" customFormat="false" ht="19.7" hidden="false" customHeight="false" outlineLevel="0" collapsed="false">
      <c r="B2" s="1" t="s">
        <v>63</v>
      </c>
    </row>
    <row r="3" customFormat="false" ht="15" hidden="false" customHeight="false" outlineLevel="0" collapsed="false">
      <c r="B3" s="3" t="s">
        <v>64</v>
      </c>
    </row>
    <row r="5" customFormat="false" ht="15" hidden="false" customHeight="false" outlineLevel="0" collapsed="false">
      <c r="B5" s="32" t="s">
        <v>65</v>
      </c>
      <c r="C5" s="32"/>
      <c r="D5" s="32"/>
      <c r="E5" s="28" t="n">
        <v>1800000</v>
      </c>
    </row>
    <row r="8" customFormat="false" ht="15" hidden="false" customHeight="false" outlineLevel="0" collapsed="false">
      <c r="B8" s="33" t="s">
        <v>66</v>
      </c>
      <c r="C8" s="33" t="s">
        <v>67</v>
      </c>
      <c r="D8" s="33" t="s">
        <v>68</v>
      </c>
      <c r="E8" s="33" t="s">
        <v>69</v>
      </c>
      <c r="F8" s="33" t="s">
        <v>70</v>
      </c>
    </row>
    <row r="9" customFormat="false" ht="30" hidden="false" customHeight="true" outlineLevel="0" collapsed="false">
      <c r="B9" s="34" t="s">
        <v>71</v>
      </c>
      <c r="C9" s="35" t="n">
        <v>0.3</v>
      </c>
      <c r="D9" s="36" t="n">
        <v>0.85</v>
      </c>
      <c r="E9" s="37" t="n">
        <f aca="false">C9*D9</f>
        <v>0.255</v>
      </c>
      <c r="F9" s="29" t="s">
        <v>72</v>
      </c>
    </row>
    <row r="10" customFormat="false" ht="30" hidden="false" customHeight="true" outlineLevel="0" collapsed="false">
      <c r="B10" s="34" t="s">
        <v>73</v>
      </c>
      <c r="C10" s="35" t="n">
        <v>0.25</v>
      </c>
      <c r="D10" s="36" t="n">
        <v>1.1</v>
      </c>
      <c r="E10" s="37" t="n">
        <f aca="false">C10*D10</f>
        <v>0.275</v>
      </c>
      <c r="F10" s="29" t="s">
        <v>74</v>
      </c>
    </row>
    <row r="11" customFormat="false" ht="30" hidden="false" customHeight="true" outlineLevel="0" collapsed="false">
      <c r="B11" s="34" t="s">
        <v>75</v>
      </c>
      <c r="C11" s="35" t="n">
        <v>0.15</v>
      </c>
      <c r="D11" s="36" t="n">
        <v>1.15</v>
      </c>
      <c r="E11" s="37" t="n">
        <f aca="false">C11*D11</f>
        <v>0.1725</v>
      </c>
      <c r="F11" s="29" t="s">
        <v>76</v>
      </c>
    </row>
    <row r="12" customFormat="false" ht="30" hidden="false" customHeight="true" outlineLevel="0" collapsed="false">
      <c r="B12" s="34" t="s">
        <v>77</v>
      </c>
      <c r="C12" s="35" t="n">
        <v>0.1</v>
      </c>
      <c r="D12" s="36" t="n">
        <v>0.9</v>
      </c>
      <c r="E12" s="37" t="n">
        <f aca="false">C12*D12</f>
        <v>0.09</v>
      </c>
      <c r="F12" s="29" t="s">
        <v>78</v>
      </c>
    </row>
    <row r="13" customFormat="false" ht="30" hidden="false" customHeight="true" outlineLevel="0" collapsed="false">
      <c r="B13" s="34" t="s">
        <v>79</v>
      </c>
      <c r="C13" s="35" t="n">
        <v>0.1</v>
      </c>
      <c r="D13" s="36" t="n">
        <v>0.7</v>
      </c>
      <c r="E13" s="37" t="n">
        <f aca="false">C13*D13</f>
        <v>0.07</v>
      </c>
      <c r="F13" s="29" t="s">
        <v>80</v>
      </c>
    </row>
    <row r="14" customFormat="false" ht="30" hidden="false" customHeight="true" outlineLevel="0" collapsed="false">
      <c r="B14" s="34" t="s">
        <v>81</v>
      </c>
      <c r="C14" s="35" t="n">
        <v>0.05</v>
      </c>
      <c r="D14" s="36" t="n">
        <v>1</v>
      </c>
      <c r="E14" s="37" t="n">
        <f aca="false">C14*D14</f>
        <v>0.05</v>
      </c>
      <c r="F14" s="29" t="s">
        <v>82</v>
      </c>
    </row>
    <row r="15" customFormat="false" ht="30" hidden="false" customHeight="true" outlineLevel="0" collapsed="false">
      <c r="B15" s="34" t="s">
        <v>83</v>
      </c>
      <c r="C15" s="35" t="n">
        <v>0.05</v>
      </c>
      <c r="D15" s="36" t="n">
        <v>1.05</v>
      </c>
      <c r="E15" s="37" t="n">
        <f aca="false">C15*D15</f>
        <v>0.0525</v>
      </c>
      <c r="F15" s="29" t="s">
        <v>84</v>
      </c>
    </row>
    <row r="17" customFormat="false" ht="15" hidden="false" customHeight="false" outlineLevel="0" collapsed="false">
      <c r="B17" s="4" t="s">
        <v>85</v>
      </c>
      <c r="E17" s="38" t="n">
        <f aca="false">SUM(E9:E15)</f>
        <v>0.965</v>
      </c>
    </row>
    <row r="19" customFormat="false" ht="17.35" hidden="false" customHeight="false" outlineLevel="0" collapsed="false">
      <c r="B19" s="30" t="s">
        <v>86</v>
      </c>
      <c r="C19" s="13"/>
      <c r="D19" s="13"/>
      <c r="E19" s="31" t="n">
        <f aca="false">E5*E17</f>
        <v>1737000</v>
      </c>
    </row>
  </sheetData>
  <mergeCells count="1"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7"/>
    <col collapsed="false" customWidth="true" hidden="false" outlineLevel="0" max="13" min="3" style="0" width="10.51"/>
    <col collapsed="false" customWidth="true" hidden="false" outlineLevel="0" max="14" min="14" style="0" width="3"/>
  </cols>
  <sheetData>
    <row r="2" customFormat="false" ht="19.7" hidden="false" customHeight="false" outlineLevel="0" collapsed="false">
      <c r="B2" s="1" t="s">
        <v>87</v>
      </c>
    </row>
    <row r="3" customFormat="false" ht="15" hidden="false" customHeight="false" outlineLevel="0" collapsed="false">
      <c r="B3" s="3" t="s">
        <v>88</v>
      </c>
    </row>
    <row r="5" customFormat="false" ht="15" hidden="false" customHeight="false" outlineLevel="0" collapsed="false">
      <c r="B5" s="39"/>
      <c r="C5" s="40" t="s">
        <v>89</v>
      </c>
      <c r="D5" s="40" t="s">
        <v>35</v>
      </c>
      <c r="E5" s="40" t="s">
        <v>90</v>
      </c>
      <c r="F5" s="40" t="s">
        <v>36</v>
      </c>
      <c r="G5" s="40" t="s">
        <v>91</v>
      </c>
      <c r="H5" s="40" t="s">
        <v>37</v>
      </c>
      <c r="I5" s="40" t="s">
        <v>92</v>
      </c>
      <c r="J5" s="40" t="s">
        <v>38</v>
      </c>
      <c r="K5" s="40" t="s">
        <v>93</v>
      </c>
      <c r="L5" s="40" t="s">
        <v>94</v>
      </c>
      <c r="M5" s="40" t="s">
        <v>39</v>
      </c>
    </row>
    <row r="6" customFormat="false" ht="15" hidden="false" customHeight="false" outlineLevel="0" collapsed="false">
      <c r="B6" s="4" t="s">
        <v>95</v>
      </c>
      <c r="C6" s="41"/>
      <c r="D6" s="42" t="n">
        <v>3600</v>
      </c>
      <c r="E6" s="42" t="n">
        <v>4000</v>
      </c>
      <c r="F6" s="42" t="n">
        <v>4400</v>
      </c>
      <c r="G6" s="42" t="n">
        <v>4800</v>
      </c>
      <c r="H6" s="42" t="n">
        <v>5200</v>
      </c>
      <c r="I6" s="42" t="n">
        <v>5600</v>
      </c>
      <c r="J6" s="42" t="n">
        <v>6000</v>
      </c>
      <c r="K6" s="42" t="n">
        <v>6400</v>
      </c>
      <c r="L6" s="42" t="n">
        <v>6800</v>
      </c>
      <c r="M6" s="42" t="n">
        <v>7200</v>
      </c>
    </row>
    <row r="7" customFormat="false" ht="15" hidden="false" customHeight="false" outlineLevel="0" collapsed="false">
      <c r="B7" s="7" t="s">
        <v>96</v>
      </c>
    </row>
    <row r="9" customFormat="false" ht="15.75" hidden="false" customHeight="true" outlineLevel="0" collapsed="false">
      <c r="B9" s="43" t="s">
        <v>97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customFormat="false" ht="15" hidden="false" customHeight="false" outlineLevel="0" collapsed="false">
      <c r="B10" s="45" t="s">
        <v>98</v>
      </c>
      <c r="C10" s="46" t="n">
        <v>0</v>
      </c>
      <c r="D10" s="47" t="n">
        <v>56</v>
      </c>
      <c r="E10" s="47" t="n">
        <v>300</v>
      </c>
      <c r="F10" s="47" t="n">
        <v>1136</v>
      </c>
      <c r="G10" s="47" t="n">
        <v>1667</v>
      </c>
      <c r="H10" s="47" t="n">
        <v>2500</v>
      </c>
      <c r="I10" s="47" t="n">
        <v>3036</v>
      </c>
      <c r="J10" s="47" t="n">
        <v>3667</v>
      </c>
      <c r="K10" s="47" t="n">
        <v>4219</v>
      </c>
      <c r="L10" s="47" t="n">
        <v>4706</v>
      </c>
      <c r="M10" s="47" t="n">
        <v>5278</v>
      </c>
    </row>
    <row r="11" customFormat="false" ht="15" hidden="false" customHeight="false" outlineLevel="0" collapsed="false">
      <c r="B11" s="7" t="s">
        <v>99</v>
      </c>
      <c r="C11" s="48"/>
      <c r="D11" s="48"/>
      <c r="E11" s="48" t="n">
        <f aca="false">IFERROR(E10/D10-1,"")</f>
        <v>4.35714285714286</v>
      </c>
      <c r="F11" s="48" t="n">
        <f aca="false">IFERROR(F10/E10-1,"")</f>
        <v>2.78666666666667</v>
      </c>
      <c r="G11" s="48" t="n">
        <f aca="false">IFERROR(G10/F10-1,"")</f>
        <v>0.467429577464789</v>
      </c>
      <c r="H11" s="48" t="n">
        <f aca="false">IFERROR(H10/G10-1,"")</f>
        <v>0.499700059988002</v>
      </c>
      <c r="I11" s="48" t="n">
        <f aca="false">IFERROR(I10/H10-1,"")</f>
        <v>0.2144</v>
      </c>
      <c r="J11" s="48" t="n">
        <f aca="false">IFERROR(J10/I10-1,"")</f>
        <v>0.207839262187088</v>
      </c>
      <c r="K11" s="48" t="n">
        <f aca="false">IFERROR(K10/J10-1,"")</f>
        <v>0.150531769839106</v>
      </c>
      <c r="L11" s="48" t="n">
        <f aca="false">IFERROR(L10/K10-1,"")</f>
        <v>0.115430196729083</v>
      </c>
      <c r="M11" s="48" t="n">
        <f aca="false">IFERROR(M10/L10-1,"")</f>
        <v>0.121546961325967</v>
      </c>
    </row>
    <row r="12" customFormat="false" ht="15" hidden="false" customHeight="false" outlineLevel="0" collapsed="false">
      <c r="B12" s="4" t="s">
        <v>100</v>
      </c>
      <c r="C12" s="49" t="n">
        <v>0</v>
      </c>
      <c r="D12" s="50" t="n">
        <f aca="false">D10*D6</f>
        <v>201600</v>
      </c>
      <c r="E12" s="50" t="n">
        <f aca="false">E10*E6</f>
        <v>1200000</v>
      </c>
      <c r="F12" s="50" t="n">
        <f aca="false">F10*F6</f>
        <v>4998400</v>
      </c>
      <c r="G12" s="50" t="n">
        <f aca="false">G10*G6</f>
        <v>8001600</v>
      </c>
      <c r="H12" s="50" t="n">
        <f aca="false">H10*H6</f>
        <v>13000000</v>
      </c>
      <c r="I12" s="50" t="n">
        <f aca="false">I10*I6</f>
        <v>17001600</v>
      </c>
      <c r="J12" s="50" t="n">
        <f aca="false">J10*J6</f>
        <v>22002000</v>
      </c>
      <c r="K12" s="50" t="n">
        <f aca="false">K10*K6</f>
        <v>27001600</v>
      </c>
      <c r="L12" s="50" t="n">
        <f aca="false">L10*L6</f>
        <v>32000800</v>
      </c>
      <c r="M12" s="50" t="n">
        <f aca="false">M10*M6</f>
        <v>38001600</v>
      </c>
    </row>
    <row r="14" customFormat="false" ht="15.75" hidden="false" customHeight="true" outlineLevel="0" collapsed="false">
      <c r="B14" s="51" t="s">
        <v>101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</row>
    <row r="15" customFormat="false" ht="15" hidden="false" customHeight="false" outlineLevel="0" collapsed="false">
      <c r="B15" s="45" t="s">
        <v>98</v>
      </c>
      <c r="C15" s="46" t="n">
        <v>0</v>
      </c>
      <c r="D15" s="47" t="n">
        <v>278</v>
      </c>
      <c r="E15" s="47" t="n">
        <v>875</v>
      </c>
      <c r="F15" s="47" t="n">
        <v>2045</v>
      </c>
      <c r="G15" s="47" t="n">
        <v>3542</v>
      </c>
      <c r="H15" s="47" t="n">
        <v>5385</v>
      </c>
      <c r="I15" s="47" t="n">
        <v>6786</v>
      </c>
      <c r="J15" s="47" t="n">
        <v>9167</v>
      </c>
      <c r="K15" s="47" t="n">
        <v>10938</v>
      </c>
      <c r="L15" s="47" t="n">
        <v>12500</v>
      </c>
      <c r="M15" s="47" t="n">
        <v>13889</v>
      </c>
    </row>
    <row r="16" customFormat="false" ht="15" hidden="false" customHeight="false" outlineLevel="0" collapsed="false">
      <c r="B16" s="7" t="s">
        <v>99</v>
      </c>
      <c r="C16" s="48"/>
      <c r="D16" s="48"/>
      <c r="E16" s="48" t="n">
        <f aca="false">IFERROR(E15/D15-1,"")</f>
        <v>2.14748201438849</v>
      </c>
      <c r="F16" s="48" t="n">
        <f aca="false">IFERROR(F15/E15-1,"")</f>
        <v>1.33714285714286</v>
      </c>
      <c r="G16" s="48" t="n">
        <f aca="false">IFERROR(G15/F15-1,"")</f>
        <v>0.732029339853301</v>
      </c>
      <c r="H16" s="48" t="n">
        <f aca="false">IFERROR(H15/G15-1,"")</f>
        <v>0.520327498588368</v>
      </c>
      <c r="I16" s="48" t="n">
        <f aca="false">IFERROR(I15/H15-1,"")</f>
        <v>0.26016713091922</v>
      </c>
      <c r="J16" s="48" t="n">
        <f aca="false">IFERROR(J15/I15-1,"")</f>
        <v>0.350869437076334</v>
      </c>
      <c r="K16" s="48" t="n">
        <f aca="false">IFERROR(K15/J15-1,"")</f>
        <v>0.193192974800916</v>
      </c>
      <c r="L16" s="48" t="n">
        <f aca="false">IFERROR(L15/K15-1,"")</f>
        <v>0.142804900347413</v>
      </c>
      <c r="M16" s="48" t="n">
        <f aca="false">IFERROR(M15/L15-1,"")</f>
        <v>0.11112</v>
      </c>
    </row>
    <row r="17" customFormat="false" ht="15" hidden="false" customHeight="false" outlineLevel="0" collapsed="false">
      <c r="B17" s="4" t="s">
        <v>100</v>
      </c>
      <c r="C17" s="49" t="n">
        <v>0</v>
      </c>
      <c r="D17" s="50" t="n">
        <f aca="false">D15*D6</f>
        <v>1000800</v>
      </c>
      <c r="E17" s="50" t="n">
        <f aca="false">E15*E6</f>
        <v>3500000</v>
      </c>
      <c r="F17" s="50" t="n">
        <f aca="false">F15*F6</f>
        <v>8998000</v>
      </c>
      <c r="G17" s="50" t="n">
        <f aca="false">G15*G6</f>
        <v>17001600</v>
      </c>
      <c r="H17" s="50" t="n">
        <f aca="false">H15*H6</f>
        <v>28002000</v>
      </c>
      <c r="I17" s="50" t="n">
        <f aca="false">I15*I6</f>
        <v>38001600</v>
      </c>
      <c r="J17" s="50" t="n">
        <f aca="false">J15*J6</f>
        <v>55002000</v>
      </c>
      <c r="K17" s="50" t="n">
        <f aca="false">K15*K6</f>
        <v>70003200</v>
      </c>
      <c r="L17" s="50" t="n">
        <f aca="false">L15*L6</f>
        <v>85000000</v>
      </c>
      <c r="M17" s="50" t="n">
        <f aca="false">M15*M6</f>
        <v>100000800</v>
      </c>
    </row>
    <row r="19" customFormat="false" ht="15.75" hidden="false" customHeight="true" outlineLevel="0" collapsed="false">
      <c r="B19" s="53" t="s">
        <v>102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customFormat="false" ht="15" hidden="false" customHeight="false" outlineLevel="0" collapsed="false">
      <c r="B20" s="45" t="s">
        <v>98</v>
      </c>
      <c r="C20" s="46" t="n">
        <v>0</v>
      </c>
      <c r="D20" s="47" t="n">
        <v>500</v>
      </c>
      <c r="E20" s="47" t="n">
        <v>1500</v>
      </c>
      <c r="F20" s="47" t="n">
        <v>3864</v>
      </c>
      <c r="G20" s="47" t="n">
        <v>6667</v>
      </c>
      <c r="H20" s="47" t="n">
        <v>10577</v>
      </c>
      <c r="I20" s="47" t="n">
        <v>14286</v>
      </c>
      <c r="J20" s="47" t="n">
        <v>19167</v>
      </c>
      <c r="K20" s="47" t="n">
        <v>25000</v>
      </c>
      <c r="L20" s="47" t="n">
        <v>29412</v>
      </c>
      <c r="M20" s="47" t="n">
        <v>34722</v>
      </c>
    </row>
    <row r="21" customFormat="false" ht="15" hidden="false" customHeight="false" outlineLevel="0" collapsed="false">
      <c r="B21" s="7" t="s">
        <v>99</v>
      </c>
      <c r="C21" s="48"/>
      <c r="D21" s="48"/>
      <c r="E21" s="48" t="n">
        <f aca="false">IFERROR(E20/D20-1,"")</f>
        <v>2</v>
      </c>
      <c r="F21" s="48" t="n">
        <f aca="false">IFERROR(F20/E20-1,"")</f>
        <v>1.576</v>
      </c>
      <c r="G21" s="48" t="n">
        <f aca="false">IFERROR(G20/F20-1,"")</f>
        <v>0.725414078674948</v>
      </c>
      <c r="H21" s="48" t="n">
        <f aca="false">IFERROR(H20/G20-1,"")</f>
        <v>0.586470676466177</v>
      </c>
      <c r="I21" s="48" t="n">
        <f aca="false">IFERROR(I20/H20-1,"")</f>
        <v>0.350666540606977</v>
      </c>
      <c r="J21" s="48" t="n">
        <f aca="false">IFERROR(J20/I20-1,"")</f>
        <v>0.341663166736665</v>
      </c>
      <c r="K21" s="48" t="n">
        <f aca="false">IFERROR(K20/J20-1,"")</f>
        <v>0.304325142171441</v>
      </c>
      <c r="L21" s="48" t="n">
        <f aca="false">IFERROR(L20/K20-1,"")</f>
        <v>0.17648</v>
      </c>
      <c r="M21" s="48" t="n">
        <f aca="false">IFERROR(M20/L20-1,"")</f>
        <v>0.180538555691554</v>
      </c>
    </row>
    <row r="22" customFormat="false" ht="15" hidden="false" customHeight="false" outlineLevel="0" collapsed="false">
      <c r="B22" s="4" t="s">
        <v>100</v>
      </c>
      <c r="C22" s="49" t="n">
        <v>0</v>
      </c>
      <c r="D22" s="50" t="n">
        <f aca="false">D20*D6</f>
        <v>1800000</v>
      </c>
      <c r="E22" s="50" t="n">
        <f aca="false">E20*E6</f>
        <v>6000000</v>
      </c>
      <c r="F22" s="50" t="n">
        <f aca="false">F20*F6</f>
        <v>17001600</v>
      </c>
      <c r="G22" s="50" t="n">
        <f aca="false">G20*G6</f>
        <v>32001600</v>
      </c>
      <c r="H22" s="50" t="n">
        <f aca="false">H20*H6</f>
        <v>55000400</v>
      </c>
      <c r="I22" s="50" t="n">
        <f aca="false">I20*I6</f>
        <v>80001600</v>
      </c>
      <c r="J22" s="50" t="n">
        <f aca="false">J20*J6</f>
        <v>115002000</v>
      </c>
      <c r="K22" s="50" t="n">
        <f aca="false">K20*K6</f>
        <v>160000000</v>
      </c>
      <c r="L22" s="50" t="n">
        <f aca="false">L20*L6</f>
        <v>200001600</v>
      </c>
      <c r="M22" s="50" t="n">
        <f aca="false">M20*M6</f>
        <v>249998400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7" min="3" style="0" width="15"/>
    <col collapsed="false" customWidth="true" hidden="false" outlineLevel="0" max="8" min="8" style="0" width="3"/>
  </cols>
  <sheetData>
    <row r="2" customFormat="false" ht="19.7" hidden="false" customHeight="false" outlineLevel="0" collapsed="false">
      <c r="B2" s="1" t="s">
        <v>103</v>
      </c>
    </row>
    <row r="3" customFormat="false" ht="15" hidden="false" customHeight="false" outlineLevel="0" collapsed="false">
      <c r="B3" s="3" t="s">
        <v>104</v>
      </c>
    </row>
    <row r="5" customFormat="false" ht="15" hidden="false" customHeight="false" outlineLevel="0" collapsed="false">
      <c r="B5" s="55"/>
      <c r="C5" s="16" t="s">
        <v>35</v>
      </c>
      <c r="D5" s="16" t="s">
        <v>36</v>
      </c>
      <c r="E5" s="16" t="s">
        <v>37</v>
      </c>
      <c r="F5" s="16" t="s">
        <v>38</v>
      </c>
      <c r="G5" s="16" t="s">
        <v>39</v>
      </c>
    </row>
    <row r="6" customFormat="false" ht="15" hidden="false" customHeight="false" outlineLevel="0" collapsed="false">
      <c r="B6" s="4" t="s">
        <v>105</v>
      </c>
      <c r="C6" s="56" t="n">
        <v>8</v>
      </c>
      <c r="D6" s="56" t="n">
        <v>7</v>
      </c>
      <c r="E6" s="56" t="n">
        <v>6</v>
      </c>
      <c r="F6" s="56" t="n">
        <v>5.5</v>
      </c>
      <c r="G6" s="56" t="n">
        <v>5</v>
      </c>
    </row>
    <row r="7" customFormat="false" ht="15" hidden="false" customHeight="false" outlineLevel="0" collapsed="false">
      <c r="B7" s="7" t="s">
        <v>106</v>
      </c>
    </row>
    <row r="9" customFormat="false" ht="15" hidden="false" customHeight="false" outlineLevel="0" collapsed="false">
      <c r="B9" s="43" t="s">
        <v>97</v>
      </c>
      <c r="C9" s="44"/>
      <c r="D9" s="44"/>
      <c r="E9" s="44"/>
      <c r="F9" s="44"/>
      <c r="G9" s="44"/>
    </row>
    <row r="10" customFormat="false" ht="15" hidden="false" customHeight="false" outlineLevel="0" collapsed="false">
      <c r="B10" s="45" t="s">
        <v>107</v>
      </c>
      <c r="C10" s="49" t="n">
        <f aca="false">'Projeção de Receita'!D12</f>
        <v>201600</v>
      </c>
      <c r="D10" s="49" t="n">
        <f aca="false">'Projeção de Receita'!F12</f>
        <v>4998400</v>
      </c>
      <c r="E10" s="49" t="n">
        <f aca="false">'Projeção de Receita'!H12</f>
        <v>13000000</v>
      </c>
      <c r="F10" s="49" t="n">
        <f aca="false">'Projeção de Receita'!J12</f>
        <v>22002000</v>
      </c>
      <c r="G10" s="49" t="n">
        <f aca="false">'Projeção de Receita'!M12</f>
        <v>38001600</v>
      </c>
    </row>
    <row r="11" customFormat="false" ht="15" hidden="false" customHeight="false" outlineLevel="0" collapsed="false">
      <c r="B11" s="4" t="s">
        <v>108</v>
      </c>
      <c r="C11" s="57" t="n">
        <f aca="false">C10*C6</f>
        <v>1612800</v>
      </c>
      <c r="D11" s="57" t="n">
        <f aca="false">D10*D6</f>
        <v>34988800</v>
      </c>
      <c r="E11" s="57" t="n">
        <f aca="false">E10*E6</f>
        <v>78000000</v>
      </c>
      <c r="F11" s="57" t="n">
        <f aca="false">F10*F6</f>
        <v>121011000</v>
      </c>
      <c r="G11" s="57" t="n">
        <f aca="false">G10*G6</f>
        <v>190008000</v>
      </c>
    </row>
    <row r="13" customFormat="false" ht="15" hidden="false" customHeight="false" outlineLevel="0" collapsed="false">
      <c r="B13" s="51" t="s">
        <v>101</v>
      </c>
      <c r="C13" s="52"/>
      <c r="D13" s="52"/>
      <c r="E13" s="52"/>
      <c r="F13" s="52"/>
      <c r="G13" s="52"/>
    </row>
    <row r="14" customFormat="false" ht="15" hidden="false" customHeight="false" outlineLevel="0" collapsed="false">
      <c r="B14" s="45" t="s">
        <v>107</v>
      </c>
      <c r="C14" s="49" t="n">
        <f aca="false">'Projeção de Receita'!D17</f>
        <v>1000800</v>
      </c>
      <c r="D14" s="49" t="n">
        <f aca="false">'Projeção de Receita'!F17</f>
        <v>8998000</v>
      </c>
      <c r="E14" s="49" t="n">
        <f aca="false">'Projeção de Receita'!H17</f>
        <v>28002000</v>
      </c>
      <c r="F14" s="49" t="n">
        <f aca="false">'Projeção de Receita'!J17</f>
        <v>55002000</v>
      </c>
      <c r="G14" s="49" t="n">
        <f aca="false">'Projeção de Receita'!M17</f>
        <v>100000800</v>
      </c>
    </row>
    <row r="15" customFormat="false" ht="15" hidden="false" customHeight="false" outlineLevel="0" collapsed="false">
      <c r="B15" s="4" t="s">
        <v>108</v>
      </c>
      <c r="C15" s="57" t="n">
        <f aca="false">C14*C6</f>
        <v>8006400</v>
      </c>
      <c r="D15" s="57" t="n">
        <f aca="false">D14*D6</f>
        <v>62986000</v>
      </c>
      <c r="E15" s="57" t="n">
        <f aca="false">E14*E6</f>
        <v>168012000</v>
      </c>
      <c r="F15" s="57" t="n">
        <f aca="false">F14*F6</f>
        <v>302511000</v>
      </c>
      <c r="G15" s="57" t="n">
        <f aca="false">G14*G6</f>
        <v>500004000</v>
      </c>
    </row>
    <row r="17" customFormat="false" ht="15" hidden="false" customHeight="false" outlineLevel="0" collapsed="false">
      <c r="B17" s="53" t="s">
        <v>102</v>
      </c>
      <c r="C17" s="54"/>
      <c r="D17" s="54"/>
      <c r="E17" s="54"/>
      <c r="F17" s="54"/>
      <c r="G17" s="54"/>
    </row>
    <row r="18" customFormat="false" ht="15" hidden="false" customHeight="false" outlineLevel="0" collapsed="false">
      <c r="B18" s="45" t="s">
        <v>107</v>
      </c>
      <c r="C18" s="49" t="n">
        <f aca="false">'Projeção de Receita'!D22</f>
        <v>1800000</v>
      </c>
      <c r="D18" s="49" t="n">
        <f aca="false">'Projeção de Receita'!F22</f>
        <v>17001600</v>
      </c>
      <c r="E18" s="49" t="n">
        <f aca="false">'Projeção de Receita'!H22</f>
        <v>55000400</v>
      </c>
      <c r="F18" s="49" t="n">
        <f aca="false">'Projeção de Receita'!J22</f>
        <v>115002000</v>
      </c>
      <c r="G18" s="49" t="n">
        <f aca="false">'Projeção de Receita'!M22</f>
        <v>249998400</v>
      </c>
    </row>
    <row r="19" customFormat="false" ht="15" hidden="false" customHeight="false" outlineLevel="0" collapsed="false">
      <c r="B19" s="4" t="s">
        <v>108</v>
      </c>
      <c r="C19" s="57" t="n">
        <f aca="false">C18*C6</f>
        <v>14400000</v>
      </c>
      <c r="D19" s="57" t="n">
        <f aca="false">D18*D6</f>
        <v>119011200</v>
      </c>
      <c r="E19" s="57" t="n">
        <f aca="false">E18*E6</f>
        <v>330002400</v>
      </c>
      <c r="F19" s="57" t="n">
        <f aca="false">F18*F6</f>
        <v>632511000</v>
      </c>
      <c r="G19" s="57" t="n">
        <f aca="false">G18*G6</f>
        <v>1249992000</v>
      </c>
    </row>
    <row r="22" customFormat="false" ht="15" hidden="false" customHeight="false" outlineLevel="0" collapsed="false">
      <c r="B22" s="4" t="s">
        <v>109</v>
      </c>
    </row>
    <row r="23" customFormat="false" ht="15" hidden="false" customHeight="false" outlineLevel="0" collapsed="false">
      <c r="B23" s="7" t="s">
        <v>110</v>
      </c>
    </row>
    <row r="24" customFormat="false" ht="15" hidden="false" customHeight="false" outlineLevel="0" collapsed="false">
      <c r="B24" s="7" t="s">
        <v>111</v>
      </c>
    </row>
    <row r="25" customFormat="false" ht="15" hidden="false" customHeight="false" outlineLevel="0" collapsed="false">
      <c r="B25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2026-08-03T20:02:07Z</dcterms:created>
  <dc:creator>openpyxl</dc:creator>
  <dc:description/>
  <dc:language>en-US</dc:language>
  <cp:lastModifiedBy/>
  <dcterms:modified xsi:type="dcterms:W3CDTF">2026-08-03T20:04:19Z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